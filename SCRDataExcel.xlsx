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2e50f5c7016cafd/Desktop/SNA/Python/CDashB/"/>
    </mc:Choice>
  </mc:AlternateContent>
  <xr:revisionPtr revIDLastSave="48" documentId="8_{8A62ADD7-E3FD-41EC-ABE3-319764A6FDB2}" xr6:coauthVersionLast="47" xr6:coauthVersionMax="47" xr10:uidLastSave="{3BFE3493-CFA1-40FC-BEC7-9FD610FB8600}"/>
  <bookViews>
    <workbookView xWindow="-108" yWindow="-108" windowWidth="23256" windowHeight="12456" activeTab="1" xr2:uid="{3504071A-0C64-4446-8681-174DE90DA20E}"/>
  </bookViews>
  <sheets>
    <sheet name="SCRDataModel1" sheetId="1" r:id="rId1"/>
    <sheet name="SCRDataModel2" sheetId="2" r:id="rId2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6" i="2"/>
  <c r="E7" i="2"/>
  <c r="E8" i="2"/>
  <c r="E5" i="2"/>
  <c r="C8" i="2"/>
  <c r="C7" i="2"/>
  <c r="C6" i="2"/>
  <c r="C5" i="2"/>
  <c r="C4" i="2"/>
  <c r="C3" i="2"/>
  <c r="C2" i="2"/>
  <c r="C8" i="1"/>
  <c r="E8" i="1"/>
  <c r="C7" i="1"/>
  <c r="E7" i="1"/>
  <c r="C6" i="1"/>
  <c r="E6" i="1"/>
  <c r="E2" i="1"/>
  <c r="E3" i="1"/>
  <c r="E4" i="1"/>
  <c r="E5" i="1"/>
  <c r="C5" i="1"/>
  <c r="C4" i="1"/>
  <c r="C3" i="1"/>
  <c r="C2" i="1"/>
</calcChain>
</file>

<file path=xl/sharedStrings.xml><?xml version="1.0" encoding="utf-8"?>
<sst xmlns="http://schemas.openxmlformats.org/spreadsheetml/2006/main" count="162" uniqueCount="57">
  <si>
    <t>Tracking No</t>
  </si>
  <si>
    <t>Date Received</t>
  </si>
  <si>
    <t>Month</t>
  </si>
  <si>
    <t>Date Completion</t>
  </si>
  <si>
    <t>Aging</t>
  </si>
  <si>
    <t>Status</t>
  </si>
  <si>
    <t>Side Rail/PCB label no</t>
  </si>
  <si>
    <t>Model</t>
  </si>
  <si>
    <t>Plant / Field return</t>
  </si>
  <si>
    <t>Mileage</t>
  </si>
  <si>
    <t>End Model Number</t>
  </si>
  <si>
    <t>Customer Complaint</t>
  </si>
  <si>
    <t>Root Cause</t>
  </si>
  <si>
    <t>Defective component  P/No</t>
  </si>
  <si>
    <t>Supplier</t>
  </si>
  <si>
    <t>Corrective Action</t>
  </si>
  <si>
    <t>2025-01-001E-W</t>
  </si>
  <si>
    <t>Closed</t>
  </si>
  <si>
    <t>12345678X0123456789/EK0123456789</t>
  </si>
  <si>
    <t>CSTMR1</t>
  </si>
  <si>
    <t>Warranty</t>
  </si>
  <si>
    <t>ECU Starting Problem</t>
  </si>
  <si>
    <t>Unit Recovered after ABA</t>
  </si>
  <si>
    <t>NA</t>
  </si>
  <si>
    <t xml:space="preserve"> - </t>
  </si>
  <si>
    <t>2025-02-004E-W</t>
  </si>
  <si>
    <t>87654321X0987654321/EK0123456790</t>
  </si>
  <si>
    <t>CSTMR2</t>
  </si>
  <si>
    <t>Poor Pick-up Issue</t>
  </si>
  <si>
    <t>Water Intrusion</t>
  </si>
  <si>
    <t>2025-03-005E-P</t>
  </si>
  <si>
    <t>23456789X1234567890/EK1234567890</t>
  </si>
  <si>
    <t>Plant</t>
  </si>
  <si>
    <t>Unit Fail FCT</t>
  </si>
  <si>
    <t>FET Short Circuit</t>
  </si>
  <si>
    <t>IFX</t>
  </si>
  <si>
    <t>2026-01-04-004E-P</t>
  </si>
  <si>
    <t>Open</t>
  </si>
  <si>
    <t>13572468X1357986420/EK1234567891</t>
  </si>
  <si>
    <t>STM</t>
  </si>
  <si>
    <t>2026-02-05-005E-W</t>
  </si>
  <si>
    <t>98778998X0123456789/EK1234567891</t>
  </si>
  <si>
    <t>CSTMR3</t>
  </si>
  <si>
    <t>Power IC Failure</t>
  </si>
  <si>
    <t>2026-02-08-005P</t>
  </si>
  <si>
    <t>98778998X0123456789/EK1234567892</t>
  </si>
  <si>
    <t>2026-02-09-005P</t>
  </si>
  <si>
    <t>98778998X0123456789/EK1234567893</t>
  </si>
  <si>
    <t>NTF</t>
  </si>
  <si>
    <t>2025-10-001A-B</t>
  </si>
  <si>
    <t>2025-10-004A-B</t>
  </si>
  <si>
    <t>Model1</t>
  </si>
  <si>
    <t>Model2</t>
  </si>
  <si>
    <t>&lt;Model3</t>
  </si>
  <si>
    <t>2025-11-005A-B</t>
  </si>
  <si>
    <t>2026-01-006A-B</t>
  </si>
  <si>
    <t>2026-02-005A-B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</si>
</sst>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dd\-mmm\-yyyy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36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dd\-mmm\-yyyy"/>
      <alignment horizontal="center" vertical="center" textRotation="0" wrapText="0" indent="0" justifyLastLine="0" shrinkToFit="0" readingOrder="0"/>
    </dxf>
    <dxf>
      <numFmt numFmtId="164" formatCode="mmm\-yyyy"/>
      <alignment horizontal="center" vertical="center" textRotation="0" wrapText="0" indent="0" justifyLastLine="0" shrinkToFit="0" readingOrder="0"/>
    </dxf>
    <dxf>
      <numFmt numFmtId="165" formatCode="dd\-mmm\-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5" formatCode="dd\-mmm\-yyyy"/>
      <alignment horizontal="center" vertical="center" textRotation="0" wrapText="0" indent="0" justifyLastLine="0" shrinkToFit="0" readingOrder="0"/>
    </dxf>
    <dxf>
      <numFmt numFmtId="164" formatCode="mmm\-yyyy"/>
      <alignment horizontal="center" vertical="center" textRotation="0" wrapText="0" indent="0" justifyLastLine="0" shrinkToFit="0" readingOrder="0"/>
    </dxf>
    <dxf>
      <numFmt numFmtId="165" formatCode="dd\-mmm\-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B7F768-87FB-4659-A7CD-8FD243338CEE}" name="Table1" displayName="Table1" ref="A1:P8" totalsRowShown="0" headerRowDxfId="35" dataDxfId="34">
  <autoFilter ref="A1:P8" xr:uid="{A3B7F768-87FB-4659-A7CD-8FD243338CEE}"/>
  <tableColumns count="16">
    <tableColumn id="1" xr3:uid="{DD493070-60FA-4626-BC26-8960741FCE56}" name="Tracking No" dataDxfId="33"/>
    <tableColumn id="2" xr3:uid="{D245736E-A215-4CE3-B341-16F27082B9B1}" name="Date Received" dataDxfId="32"/>
    <tableColumn id="3" xr3:uid="{2D279AEA-EE26-453D-905A-929BA6A45D9D}" name="Month" dataDxfId="31">
      <calculatedColumnFormula>Table1[[#This Row],[Date Received]]</calculatedColumnFormula>
    </tableColumn>
    <tableColumn id="4" xr3:uid="{22CAAF16-F6AE-4D3A-A29A-6B2D8B7CC74E}" name="Date Completion" dataDxfId="30"/>
    <tableColumn id="5" xr3:uid="{35AE11E4-F060-42B0-AB6C-3C8EDD3045AC}" name="Aging" dataDxfId="29">
      <calculatedColumnFormula>IF((Table1[[#This Row],[Date Completion]]),_xlfn.DAYS(Table1[[#This Row],[Date Completion]],Table1[[#This Row],[Date Received]]), "Still Open")</calculatedColumnFormula>
    </tableColumn>
    <tableColumn id="6" xr3:uid="{337B0C59-5932-42CF-9642-0F665F318BD6}" name="Status" dataDxfId="28"/>
    <tableColumn id="7" xr3:uid="{D36BA168-CDAD-4A17-B7B0-6FD3EE03FA64}" name="Side Rail/PCB label no" dataDxfId="27"/>
    <tableColumn id="8" xr3:uid="{68089DA8-C7FF-40E7-B722-8B0CC2C8A79C}" name="Model" dataDxfId="26"/>
    <tableColumn id="9" xr3:uid="{38B4E150-19F8-44F8-9ADC-45F5AFABDB7B}" name="Plant / Field return" dataDxfId="25"/>
    <tableColumn id="10" xr3:uid="{D43EFDA5-8F57-40DF-9630-9B7CA92B9558}" name="Mileage" dataDxfId="24"/>
    <tableColumn id="11" xr3:uid="{21B22E32-F39D-4A3E-B66F-ED95196F4569}" name="End Model Number" dataDxfId="23"/>
    <tableColumn id="12" xr3:uid="{4A01A73B-4FF8-40F7-8C5B-77DFCBA55640}" name="Customer Complaint" dataDxfId="22"/>
    <tableColumn id="13" xr3:uid="{06F4ABA7-F8F3-4ABA-AFF9-E6B2328127D0}" name="Root Cause" dataDxfId="21"/>
    <tableColumn id="14" xr3:uid="{5F631444-AB91-4D7A-B208-0C5CFEA531CF}" name="Defective component  P/No" dataDxfId="20"/>
    <tableColumn id="15" xr3:uid="{DBF8A1DF-5693-4E55-BF23-B477E200049E}" name="Supplier" dataDxfId="19"/>
    <tableColumn id="16" xr3:uid="{AD287CA5-7F2B-46A9-B685-F59746A0189A}" name="Corrective Action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31DC7A-4550-42BC-9819-8AED67AA30B3}" name="Table13" displayName="Table13" ref="A1:P8" totalsRowShown="0" headerRowDxfId="17" dataDxfId="16">
  <autoFilter ref="A1:P8" xr:uid="{1231DC7A-4550-42BC-9819-8AED67AA30B3}"/>
  <tableColumns count="16">
    <tableColumn id="1" xr3:uid="{7F64FEE0-FCB6-4A57-864F-BF05A64EFEE6}" name="Tracking No" dataDxfId="15"/>
    <tableColumn id="2" xr3:uid="{FA03CD52-BC94-49BA-AD2C-718A3828BAE7}" name="Date Received" dataDxfId="14"/>
    <tableColumn id="3" xr3:uid="{33CC5400-C29A-40F3-873B-5E14832F9A86}" name="Month" dataDxfId="13">
      <calculatedColumnFormula>Table13[[#This Row],[Date Received]]</calculatedColumnFormula>
    </tableColumn>
    <tableColumn id="4" xr3:uid="{D05BF243-89AA-45C3-8D9F-338086CC1824}" name="Date Completion" dataDxfId="12"/>
    <tableColumn id="5" xr3:uid="{301DB930-F889-469C-930C-2947BE6495DD}" name="Aging" dataDxfId="0">
      <calculatedColumnFormula>IF((Table13[[#This Row],[Date Completion]]),_xlfn.DAYS(Table13[[#This Row],[Date Completion]],Table13[[#This Row],[Date Received]]), _xlfn.DAYS(TODAY(),Table13[[#This Row],[Date Received]]))</calculatedColumnFormula>
    </tableColumn>
    <tableColumn id="6" xr3:uid="{91CD56D6-DC03-4C1A-BC31-3EA560D0043E}" name="Status" dataDxfId="11"/>
    <tableColumn id="7" xr3:uid="{8F570930-8810-4389-8B07-7559E1633295}" name="Side Rail/PCB label no" dataDxfId="10"/>
    <tableColumn id="8" xr3:uid="{743EDA14-122B-4339-A7BC-781547E4ADFF}" name="Model" dataDxfId="9"/>
    <tableColumn id="9" xr3:uid="{E1587801-80CF-4385-9981-9DEDE752398C}" name="Plant / Field return" dataDxfId="8"/>
    <tableColumn id="10" xr3:uid="{94A06B8E-B322-4A40-A78B-8405B5618140}" name="Mileage" dataDxfId="7"/>
    <tableColumn id="11" xr3:uid="{82BE9381-D83A-484A-B2F0-2AEDBDB5C2A8}" name="End Model Number" dataDxfId="6"/>
    <tableColumn id="12" xr3:uid="{4AD96186-55F3-48E4-A46E-D2A0CC9CFCE2}" name="Customer Complaint" dataDxfId="5"/>
    <tableColumn id="13" xr3:uid="{5E47F734-573F-4089-8221-395EF8AFF6A5}" name="Root Cause" dataDxfId="4"/>
    <tableColumn id="14" xr3:uid="{E76F72BC-ABF5-4FE6-9E63-3CBA7DE62EF0}" name="Defective component  P/No" dataDxfId="3"/>
    <tableColumn id="15" xr3:uid="{5F194AC8-68D9-4CE3-B76F-D256941A652D}" name="Supplier" dataDxfId="2"/>
    <tableColumn id="16" xr3:uid="{A8EC2076-9709-4EF4-8F96-1FE63AF8BE1F}" name="Corrective Ac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12C1-857A-4844-A5CE-3C3FF6A6F083}">
  <dimension ref="A1:P8"/>
  <sheetViews>
    <sheetView zoomScale="80" zoomScaleNormal="80" workbookViewId="0">
      <selection sqref="A1:XFD1048576"/>
    </sheetView>
  </sheetViews>
  <sheetFormatPr defaultColWidth="8.88671875" defaultRowHeight="14.4" x14ac:dyDescent="0.3"/>
  <cols>
    <col min="1" max="1" width="18.5546875" style="1" customWidth="1"/>
    <col min="2" max="2" width="17.109375" style="3" customWidth="1"/>
    <col min="3" max="3" width="11.6640625" style="2" customWidth="1"/>
    <col min="4" max="4" width="20.33203125" style="3" customWidth="1"/>
    <col min="5" max="5" width="13.5546875" style="1" customWidth="1"/>
    <col min="6" max="6" width="12.5546875" style="1" customWidth="1"/>
    <col min="7" max="7" width="39" style="1" customWidth="1"/>
    <col min="8" max="8" width="15.33203125" style="1" customWidth="1"/>
    <col min="9" max="9" width="21.5546875" style="1" customWidth="1"/>
    <col min="10" max="10" width="15.33203125" style="1" customWidth="1"/>
    <col min="11" max="11" width="20.44140625" style="1" customWidth="1"/>
    <col min="12" max="12" width="22.109375" style="1" customWidth="1"/>
    <col min="13" max="13" width="22.88671875" style="1" customWidth="1"/>
    <col min="14" max="14" width="29.33203125" style="1" customWidth="1"/>
    <col min="15" max="15" width="12.5546875" style="1" bestFit="1" customWidth="1"/>
    <col min="16" max="16" width="21.88671875" style="1" customWidth="1"/>
    <col min="17" max="16384" width="8.88671875" style="1"/>
  </cols>
  <sheetData>
    <row r="1" spans="1:16" x14ac:dyDescent="0.3">
      <c r="A1" s="1" t="s">
        <v>0</v>
      </c>
      <c r="B1" s="3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 t="s">
        <v>16</v>
      </c>
      <c r="B2" s="3">
        <v>45658</v>
      </c>
      <c r="C2" s="2">
        <f>Table1[[#This Row],[Date Received]]</f>
        <v>45658</v>
      </c>
      <c r="D2" s="3">
        <v>45724</v>
      </c>
      <c r="E2" s="1">
        <f>IF((Table1[[#This Row],[Date Completion]]),_xlfn.DAYS(Table1[[#This Row],[Date Completion]],Table1[[#This Row],[Date Received]]), "Still Open")</f>
        <v>66</v>
      </c>
      <c r="F2" s="1" t="s">
        <v>17</v>
      </c>
      <c r="G2" s="1" t="s">
        <v>18</v>
      </c>
      <c r="H2" s="1" t="s">
        <v>19</v>
      </c>
      <c r="I2" s="1" t="s">
        <v>20</v>
      </c>
      <c r="J2" s="1">
        <v>10000</v>
      </c>
      <c r="K2" s="1">
        <v>12345678</v>
      </c>
      <c r="L2" s="1" t="s">
        <v>21</v>
      </c>
      <c r="M2" s="1" t="s">
        <v>22</v>
      </c>
      <c r="N2" s="1" t="s">
        <v>23</v>
      </c>
      <c r="O2" s="1" t="s">
        <v>23</v>
      </c>
      <c r="P2" s="1" t="s">
        <v>24</v>
      </c>
    </row>
    <row r="3" spans="1:16" x14ac:dyDescent="0.3">
      <c r="A3" s="1" t="s">
        <v>25</v>
      </c>
      <c r="B3" s="3">
        <v>45689</v>
      </c>
      <c r="C3" s="2">
        <f>Table1[[#This Row],[Date Received]]</f>
        <v>45689</v>
      </c>
      <c r="D3" s="3">
        <v>45767</v>
      </c>
      <c r="E3" s="1">
        <f>IF((Table1[[#This Row],[Date Completion]]),_xlfn.DAYS(Table1[[#This Row],[Date Completion]],Table1[[#This Row],[Date Received]]), "Still Open")</f>
        <v>78</v>
      </c>
      <c r="F3" s="1" t="s">
        <v>17</v>
      </c>
      <c r="G3" s="1" t="s">
        <v>26</v>
      </c>
      <c r="H3" s="1" t="s">
        <v>27</v>
      </c>
      <c r="I3" s="1" t="s">
        <v>20</v>
      </c>
      <c r="J3" s="1">
        <v>20000</v>
      </c>
      <c r="K3" s="1">
        <v>87654321</v>
      </c>
      <c r="L3" s="1" t="s">
        <v>28</v>
      </c>
      <c r="M3" s="1" t="s">
        <v>29</v>
      </c>
      <c r="N3" s="1" t="s">
        <v>23</v>
      </c>
      <c r="O3" s="1" t="s">
        <v>23</v>
      </c>
      <c r="P3" s="1" t="s">
        <v>24</v>
      </c>
    </row>
    <row r="4" spans="1:16" x14ac:dyDescent="0.3">
      <c r="A4" s="1" t="s">
        <v>30</v>
      </c>
      <c r="B4" s="3">
        <v>45719</v>
      </c>
      <c r="C4" s="2">
        <f>Table1[[#This Row],[Date Received]]</f>
        <v>45719</v>
      </c>
      <c r="D4" s="3">
        <v>45736</v>
      </c>
      <c r="E4" s="1">
        <f>IF((Table1[[#This Row],[Date Completion]]),_xlfn.DAYS(Table1[[#This Row],[Date Completion]],Table1[[#This Row],[Date Received]]), "Still Open")</f>
        <v>17</v>
      </c>
      <c r="F4" s="1" t="s">
        <v>17</v>
      </c>
      <c r="G4" s="1" t="s">
        <v>31</v>
      </c>
      <c r="H4" s="1" t="s">
        <v>19</v>
      </c>
      <c r="I4" s="1" t="s">
        <v>32</v>
      </c>
      <c r="J4" s="1" t="s">
        <v>23</v>
      </c>
      <c r="K4" s="1">
        <v>12345678</v>
      </c>
      <c r="L4" s="1" t="s">
        <v>33</v>
      </c>
      <c r="M4" s="1" t="s">
        <v>34</v>
      </c>
      <c r="N4" s="1">
        <v>56784321</v>
      </c>
      <c r="O4" s="1" t="s">
        <v>35</v>
      </c>
      <c r="P4" s="1" t="s">
        <v>24</v>
      </c>
    </row>
    <row r="5" spans="1:16" x14ac:dyDescent="0.3">
      <c r="A5" s="1" t="s">
        <v>36</v>
      </c>
      <c r="B5" s="3">
        <v>46028</v>
      </c>
      <c r="C5" s="2">
        <f>Table1[[#This Row],[Date Received]]</f>
        <v>46028</v>
      </c>
      <c r="E5" s="1" t="str">
        <f>IF((Table1[[#This Row],[Date Completion]]),_xlfn.DAYS(Table1[[#This Row],[Date Completion]],Table1[[#This Row],[Date Received]]), "Still Open")</f>
        <v>Still Open</v>
      </c>
      <c r="F5" s="1" t="s">
        <v>37</v>
      </c>
      <c r="G5" s="1" t="s">
        <v>38</v>
      </c>
      <c r="H5" s="1" t="s">
        <v>27</v>
      </c>
      <c r="I5" s="1" t="s">
        <v>20</v>
      </c>
      <c r="J5" s="1">
        <v>1000</v>
      </c>
      <c r="K5" s="1">
        <v>56781234</v>
      </c>
      <c r="L5" s="1" t="s">
        <v>21</v>
      </c>
      <c r="M5" s="1" t="s">
        <v>34</v>
      </c>
      <c r="N5" s="1">
        <v>56784321</v>
      </c>
      <c r="O5" s="1" t="s">
        <v>39</v>
      </c>
      <c r="P5" s="1" t="s">
        <v>24</v>
      </c>
    </row>
    <row r="6" spans="1:16" x14ac:dyDescent="0.3">
      <c r="A6" s="1" t="s">
        <v>40</v>
      </c>
      <c r="B6" s="3">
        <v>46060</v>
      </c>
      <c r="C6" s="2">
        <f>Table1[[#This Row],[Date Received]]</f>
        <v>46060</v>
      </c>
      <c r="E6" s="1" t="str">
        <f>IF((Table1[[#This Row],[Date Completion]]),_xlfn.DAYS(Table1[[#This Row],[Date Completion]],Table1[[#This Row],[Date Received]]), "Still Open")</f>
        <v>Still Open</v>
      </c>
      <c r="F6" s="1" t="s">
        <v>37</v>
      </c>
      <c r="G6" s="1" t="s">
        <v>41</v>
      </c>
      <c r="H6" s="1" t="s">
        <v>42</v>
      </c>
      <c r="I6" s="1" t="s">
        <v>32</v>
      </c>
      <c r="J6" s="1" t="s">
        <v>23</v>
      </c>
      <c r="K6" s="1">
        <v>12332145</v>
      </c>
      <c r="L6" s="1" t="s">
        <v>33</v>
      </c>
      <c r="M6" s="1" t="s">
        <v>43</v>
      </c>
      <c r="N6" s="1">
        <v>12344321</v>
      </c>
      <c r="O6" s="1" t="s">
        <v>39</v>
      </c>
    </row>
    <row r="7" spans="1:16" x14ac:dyDescent="0.3">
      <c r="A7" s="1" t="s">
        <v>44</v>
      </c>
      <c r="B7" s="3">
        <v>46061</v>
      </c>
      <c r="C7" s="2">
        <f>Table1[[#This Row],[Date Received]]</f>
        <v>46061</v>
      </c>
      <c r="D7" s="3">
        <v>46089</v>
      </c>
      <c r="E7" s="1">
        <f>IF((Table1[[#This Row],[Date Completion]]),_xlfn.DAYS(Table1[[#This Row],[Date Completion]],Table1[[#This Row],[Date Received]]), "Still Open")</f>
        <v>28</v>
      </c>
      <c r="F7" s="1" t="s">
        <v>17</v>
      </c>
      <c r="G7" s="1" t="s">
        <v>45</v>
      </c>
      <c r="H7" s="1" t="s">
        <v>27</v>
      </c>
      <c r="I7" s="1" t="s">
        <v>20</v>
      </c>
      <c r="J7" s="1">
        <v>2000</v>
      </c>
      <c r="K7" s="1">
        <v>12332147</v>
      </c>
      <c r="L7" s="1" t="s">
        <v>28</v>
      </c>
      <c r="M7" s="1" t="s">
        <v>34</v>
      </c>
      <c r="N7" s="1">
        <v>56784321</v>
      </c>
      <c r="O7" s="1" t="s">
        <v>35</v>
      </c>
    </row>
    <row r="8" spans="1:16" x14ac:dyDescent="0.3">
      <c r="A8" s="1" t="s">
        <v>46</v>
      </c>
      <c r="B8" s="3">
        <v>46062</v>
      </c>
      <c r="C8" s="2">
        <f>Table1[[#This Row],[Date Received]]</f>
        <v>46062</v>
      </c>
      <c r="D8" s="3">
        <v>46090</v>
      </c>
      <c r="E8" s="1">
        <f>IF((Table1[[#This Row],[Date Completion]]),_xlfn.DAYS(Table1[[#This Row],[Date Completion]],Table1[[#This Row],[Date Received]]), "Still Open")</f>
        <v>28</v>
      </c>
      <c r="F8" s="1" t="s">
        <v>17</v>
      </c>
      <c r="G8" s="1" t="s">
        <v>47</v>
      </c>
      <c r="H8" s="1" t="s">
        <v>42</v>
      </c>
      <c r="I8" s="1" t="s">
        <v>20</v>
      </c>
      <c r="J8" s="1">
        <v>3000</v>
      </c>
      <c r="K8" s="1">
        <v>12332148</v>
      </c>
      <c r="L8" s="1" t="s">
        <v>21</v>
      </c>
      <c r="M8" s="1" t="s">
        <v>48</v>
      </c>
      <c r="N8" s="1" t="s">
        <v>23</v>
      </c>
      <c r="O8" s="1" t="s">
        <v>23</v>
      </c>
    </row>
  </sheetData>
  <phoneticPr fontId="1" type="noConversion"/>
  <pageMargins left="0.7" right="0.7" top="0.75" bottom="0.75" header="0.3" footer="0.3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F1B6F-B8D3-4272-A1B2-C69170FCB6AC}">
  <dimension ref="A1:P8"/>
  <sheetViews>
    <sheetView tabSelected="1" workbookViewId="0">
      <selection activeCell="J2" sqref="J2"/>
    </sheetView>
  </sheetViews>
  <sheetFormatPr defaultColWidth="8.88671875" defaultRowHeight="14.4" x14ac:dyDescent="0.3"/>
  <cols>
    <col min="1" max="1" width="18.5546875" style="1" customWidth="1"/>
    <col min="2" max="2" width="17.109375" style="3" customWidth="1"/>
    <col min="3" max="3" width="11.6640625" style="2" customWidth="1"/>
    <col min="4" max="4" width="20.33203125" style="3" customWidth="1"/>
    <col min="5" max="5" width="13.5546875" style="1" customWidth="1"/>
    <col min="6" max="6" width="12.5546875" style="1" customWidth="1"/>
    <col min="7" max="7" width="39" style="1" customWidth="1"/>
    <col min="8" max="8" width="15.33203125" style="1" customWidth="1"/>
    <col min="9" max="9" width="21.5546875" style="1" customWidth="1"/>
    <col min="10" max="10" width="15.33203125" style="1" customWidth="1"/>
    <col min="11" max="11" width="20.44140625" style="1" customWidth="1"/>
    <col min="12" max="12" width="22.109375" style="1" customWidth="1"/>
    <col min="13" max="13" width="22.88671875" style="1" customWidth="1"/>
    <col min="14" max="14" width="29.33203125" style="1" customWidth="1"/>
    <col min="15" max="15" width="12.5546875" style="1" bestFit="1" customWidth="1"/>
    <col min="16" max="16" width="21.88671875" style="1" customWidth="1"/>
    <col min="17" max="16384" width="8.88671875" style="1"/>
  </cols>
  <sheetData>
    <row r="1" spans="1:16" x14ac:dyDescent="0.3">
      <c r="A1" s="1" t="s">
        <v>0</v>
      </c>
      <c r="B1" s="3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 t="s">
        <v>49</v>
      </c>
      <c r="B2" s="3">
        <v>45931</v>
      </c>
      <c r="C2" s="2">
        <f>Table13[[#This Row],[Date Received]]</f>
        <v>45931</v>
      </c>
      <c r="D2" s="3">
        <v>45969</v>
      </c>
      <c r="E2" s="1">
        <f ca="1">IF((Table13[[#This Row],[Date Completion]]),_xlfn.DAYS(Table13[[#This Row],[Date Completion]],Table13[[#This Row],[Date Received]]), _xlfn.DAYS(TODAY(),Table13[[#This Row],[Date Received]]))</f>
        <v>38</v>
      </c>
      <c r="F2" s="1" t="s">
        <v>17</v>
      </c>
      <c r="G2" s="1" t="s">
        <v>18</v>
      </c>
      <c r="H2" s="1" t="s">
        <v>51</v>
      </c>
      <c r="I2" s="1" t="s">
        <v>20</v>
      </c>
      <c r="J2" s="1">
        <v>10000</v>
      </c>
      <c r="K2" s="1">
        <v>12345678</v>
      </c>
      <c r="L2" s="1" t="s">
        <v>21</v>
      </c>
      <c r="M2" s="1" t="s">
        <v>22</v>
      </c>
      <c r="N2" s="1" t="s">
        <v>23</v>
      </c>
      <c r="O2" s="1" t="s">
        <v>23</v>
      </c>
      <c r="P2" s="1" t="s">
        <v>24</v>
      </c>
    </row>
    <row r="3" spans="1:16" x14ac:dyDescent="0.3">
      <c r="A3" s="1" t="s">
        <v>50</v>
      </c>
      <c r="B3" s="3">
        <v>45934</v>
      </c>
      <c r="C3" s="2">
        <f>Table13[[#This Row],[Date Received]]</f>
        <v>45934</v>
      </c>
      <c r="D3" s="3">
        <v>45950</v>
      </c>
      <c r="E3" s="1">
        <f ca="1">IF((Table13[[#This Row],[Date Completion]]),_xlfn.DAYS(Table13[[#This Row],[Date Completion]],Table13[[#This Row],[Date Received]]), _xlfn.DAYS(TODAY(),Table13[[#This Row],[Date Received]]))</f>
        <v>16</v>
      </c>
      <c r="F3" s="1" t="s">
        <v>17</v>
      </c>
      <c r="G3" s="1" t="s">
        <v>26</v>
      </c>
      <c r="H3" s="1" t="s">
        <v>52</v>
      </c>
      <c r="I3" s="1" t="s">
        <v>20</v>
      </c>
      <c r="J3" s="1">
        <v>20000</v>
      </c>
      <c r="K3" s="1">
        <v>87654321</v>
      </c>
      <c r="L3" s="1" t="s">
        <v>28</v>
      </c>
      <c r="M3" s="1" t="s">
        <v>29</v>
      </c>
      <c r="N3" s="1" t="s">
        <v>23</v>
      </c>
      <c r="O3" s="1" t="s">
        <v>23</v>
      </c>
      <c r="P3" s="1" t="s">
        <v>24</v>
      </c>
    </row>
    <row r="4" spans="1:16" x14ac:dyDescent="0.3">
      <c r="A4" s="1" t="s">
        <v>54</v>
      </c>
      <c r="B4" s="3">
        <v>45966</v>
      </c>
      <c r="C4" s="2">
        <f>Table13[[#This Row],[Date Received]]</f>
        <v>45966</v>
      </c>
      <c r="D4" s="3">
        <v>46011</v>
      </c>
      <c r="E4" s="1">
        <f ca="1">IF((Table13[[#This Row],[Date Completion]]),_xlfn.DAYS(Table13[[#This Row],[Date Completion]],Table13[[#This Row],[Date Received]]), _xlfn.DAYS(TODAY(),Table13[[#This Row],[Date Received]]))</f>
        <v>45</v>
      </c>
      <c r="F4" s="1" t="s">
        <v>17</v>
      </c>
      <c r="G4" s="1" t="s">
        <v>31</v>
      </c>
      <c r="H4" s="1" t="s">
        <v>51</v>
      </c>
      <c r="I4" s="1" t="s">
        <v>32</v>
      </c>
      <c r="J4" s="1" t="s">
        <v>23</v>
      </c>
      <c r="K4" s="1">
        <v>12345678</v>
      </c>
      <c r="L4" s="1" t="s">
        <v>33</v>
      </c>
      <c r="M4" s="1" t="s">
        <v>34</v>
      </c>
      <c r="N4" s="1">
        <v>56784321</v>
      </c>
      <c r="O4" s="1" t="s">
        <v>35</v>
      </c>
      <c r="P4" s="1" t="s">
        <v>24</v>
      </c>
    </row>
    <row r="5" spans="1:16" x14ac:dyDescent="0.3">
      <c r="A5" s="1" t="s">
        <v>55</v>
      </c>
      <c r="B5" s="3">
        <v>46028</v>
      </c>
      <c r="C5" s="2">
        <f>Table13[[#This Row],[Date Received]]</f>
        <v>46028</v>
      </c>
      <c r="E5" s="1">
        <f ca="1">IF((Table13[[#This Row],[Date Completion]]),_xlfn.DAYS(Table13[[#This Row],[Date Completion]],Table13[[#This Row],[Date Received]]), _xlfn.DAYS(TODAY(),Table13[[#This Row],[Date Received]]))</f>
        <v>79</v>
      </c>
      <c r="F5" s="1" t="s">
        <v>37</v>
      </c>
      <c r="G5" s="1" t="s">
        <v>38</v>
      </c>
      <c r="H5" s="1" t="s">
        <v>51</v>
      </c>
      <c r="I5" s="1" t="s">
        <v>20</v>
      </c>
      <c r="J5" s="1">
        <v>1000</v>
      </c>
      <c r="K5" s="1">
        <v>56781234</v>
      </c>
      <c r="L5" s="1" t="s">
        <v>21</v>
      </c>
      <c r="M5" s="1" t="s">
        <v>34</v>
      </c>
      <c r="N5" s="1">
        <v>56784321</v>
      </c>
      <c r="O5" s="1" t="s">
        <v>39</v>
      </c>
      <c r="P5" s="1" t="s">
        <v>24</v>
      </c>
    </row>
    <row r="6" spans="1:16" x14ac:dyDescent="0.3">
      <c r="A6" s="1" t="s">
        <v>56</v>
      </c>
      <c r="B6" s="3">
        <v>46060</v>
      </c>
      <c r="C6" s="2">
        <f>Table13[[#This Row],[Date Received]]</f>
        <v>46060</v>
      </c>
      <c r="E6" s="1">
        <f ca="1">IF((Table13[[#This Row],[Date Completion]]),_xlfn.DAYS(Table13[[#This Row],[Date Completion]],Table13[[#This Row],[Date Received]]), _xlfn.DAYS(TODAY(),Table13[[#This Row],[Date Received]]))</f>
        <v>47</v>
      </c>
      <c r="F6" s="1" t="s">
        <v>37</v>
      </c>
      <c r="G6" s="1" t="s">
        <v>41</v>
      </c>
      <c r="H6" s="1" t="s">
        <v>52</v>
      </c>
      <c r="I6" s="1" t="s">
        <v>32</v>
      </c>
      <c r="J6" s="1" t="s">
        <v>23</v>
      </c>
      <c r="K6" s="1">
        <v>12332145</v>
      </c>
      <c r="L6" s="1" t="s">
        <v>33</v>
      </c>
      <c r="M6" s="1" t="s">
        <v>43</v>
      </c>
      <c r="N6" s="1">
        <v>12344321</v>
      </c>
      <c r="O6" s="1" t="s">
        <v>39</v>
      </c>
    </row>
    <row r="7" spans="1:16" x14ac:dyDescent="0.3">
      <c r="A7" s="1" t="s">
        <v>44</v>
      </c>
      <c r="B7" s="3">
        <v>46061</v>
      </c>
      <c r="C7" s="2">
        <f>Table13[[#This Row],[Date Received]]</f>
        <v>46061</v>
      </c>
      <c r="D7" s="3">
        <v>46089</v>
      </c>
      <c r="E7" s="1">
        <f ca="1">IF((Table13[[#This Row],[Date Completion]]),_xlfn.DAYS(Table13[[#This Row],[Date Completion]],Table13[[#This Row],[Date Received]]), _xlfn.DAYS(TODAY(),Table13[[#This Row],[Date Received]]))</f>
        <v>28</v>
      </c>
      <c r="F7" s="1" t="s">
        <v>17</v>
      </c>
      <c r="G7" s="1" t="s">
        <v>45</v>
      </c>
      <c r="H7" s="1" t="s">
        <v>52</v>
      </c>
      <c r="I7" s="1" t="s">
        <v>20</v>
      </c>
      <c r="J7" s="1">
        <v>2000</v>
      </c>
      <c r="K7" s="1">
        <v>12332147</v>
      </c>
      <c r="L7" s="1" t="s">
        <v>28</v>
      </c>
      <c r="M7" s="1" t="s">
        <v>34</v>
      </c>
      <c r="N7" s="1">
        <v>56784321</v>
      </c>
      <c r="O7" s="1" t="s">
        <v>35</v>
      </c>
    </row>
    <row r="8" spans="1:16" x14ac:dyDescent="0.3">
      <c r="A8" s="1" t="s">
        <v>46</v>
      </c>
      <c r="B8" s="3">
        <v>46062</v>
      </c>
      <c r="C8" s="2">
        <f>Table13[[#This Row],[Date Received]]</f>
        <v>46062</v>
      </c>
      <c r="D8" s="3">
        <v>46090</v>
      </c>
      <c r="E8" s="1">
        <f ca="1">IF((Table13[[#This Row],[Date Completion]]),_xlfn.DAYS(Table13[[#This Row],[Date Completion]],Table13[[#This Row],[Date Received]]), _xlfn.DAYS(TODAY(),Table13[[#This Row],[Date Received]]))</f>
        <v>28</v>
      </c>
      <c r="F8" s="1" t="s">
        <v>17</v>
      </c>
      <c r="G8" s="1" t="s">
        <v>47</v>
      </c>
      <c r="H8" s="1" t="s">
        <v>53</v>
      </c>
      <c r="I8" s="1" t="s">
        <v>20</v>
      </c>
      <c r="J8" s="1">
        <v>3000</v>
      </c>
      <c r="K8" s="1">
        <v>12332148</v>
      </c>
      <c r="L8" s="1" t="s">
        <v>21</v>
      </c>
      <c r="M8" s="1" t="s">
        <v>48</v>
      </c>
      <c r="N8" s="1" t="s">
        <v>23</v>
      </c>
      <c r="O8" s="1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SCRDataModel1</vt:lpstr>
      <vt:lpstr>SCRDataModel2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Surendra Abhyankar</dc:creator>
  <cp:keywords/>
  <dc:description/>
  <cp:lastModifiedBy>Surendra Abhyankar</cp:lastModifiedBy>
  <cp:revision/>
  <dcterms:created xsi:type="dcterms:W3CDTF">2026-02-08T03:57:26Z</dcterms:created>
  <dcterms:modified xsi:type="dcterms:W3CDTF">2026-03-26T10:59:47Z</dcterms:modified>
  <cp:category/>
  <cp:contentStatus/>
</cp:coreProperties>
</file>